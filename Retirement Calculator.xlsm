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JNIFM MBA Finance\1st Term\IT Applications\"/>
    </mc:Choice>
  </mc:AlternateContent>
  <xr:revisionPtr revIDLastSave="0" documentId="13_ncr:1_{BB367778-14BB-4563-A772-8A46EEB11E7F}" xr6:coauthVersionLast="47" xr6:coauthVersionMax="47" xr10:uidLastSave="{00000000-0000-0000-0000-000000000000}"/>
  <bookViews>
    <workbookView xWindow="-108" yWindow="-108" windowWidth="23256" windowHeight="12576" xr2:uid="{5F1C381C-C4F8-4C5E-AC08-60EBD87D458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D19" i="1"/>
  <c r="E14" i="1"/>
  <c r="E13" i="1"/>
  <c r="E15" i="1" s="1"/>
  <c r="E16" i="1" l="1"/>
  <c r="E19" i="1" s="1"/>
</calcChain>
</file>

<file path=xl/sharedStrings.xml><?xml version="1.0" encoding="utf-8"?>
<sst xmlns="http://schemas.openxmlformats.org/spreadsheetml/2006/main" count="19" uniqueCount="18">
  <si>
    <t>Currently Monthly Expenses</t>
  </si>
  <si>
    <t>Current Age</t>
  </si>
  <si>
    <t>Retierement Age</t>
  </si>
  <si>
    <t>Life Expectancy</t>
  </si>
  <si>
    <t>Rate of Inflation</t>
  </si>
  <si>
    <t>Rate of Return (Post Tax)</t>
  </si>
  <si>
    <t>Real Rate of Retrun (Monthly)</t>
  </si>
  <si>
    <t>Years to Retirement</t>
  </si>
  <si>
    <t>Years Post Retirement</t>
  </si>
  <si>
    <t>Future Monthly Expenses</t>
  </si>
  <si>
    <t>Retirement Corpus</t>
  </si>
  <si>
    <t>Calculated</t>
  </si>
  <si>
    <t>Monthly Savings Required</t>
  </si>
  <si>
    <t>Saving's Interest Rate</t>
  </si>
  <si>
    <t>This is the amount you have start saving to create the desired Retirement Corpus</t>
  </si>
  <si>
    <t>This is the amount which would be required for a easy survival after retirement.</t>
  </si>
  <si>
    <t>Input</t>
  </si>
  <si>
    <t>Retirement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</si>
</sst>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₹&quot;\ #,##0.00;[Red]&quot;₹&quot;\ \-#,##0.00"/>
    <numFmt numFmtId="164" formatCode="0.0000000000000000%"/>
    <numFmt numFmtId="165" formatCode="_ [$₹-4009]\ * #,##0.00_ ;_ [$₹-4009]\ * \-#,##0.00_ ;_ [$₹-4009]\ * &quot;-&quot;??_ ;_ @_ "/>
    <numFmt numFmtId="166" formatCode="&quot;₹&quot;\ #,##0.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0" fontId="0" fillId="0" borderId="0" xfId="0" applyNumberFormat="1"/>
    <xf numFmtId="165" fontId="0" fillId="0" borderId="0" xfId="0" applyNumberFormat="1"/>
    <xf numFmtId="8" fontId="0" fillId="0" borderId="0" xfId="0" applyNumberFormat="1"/>
    <xf numFmtId="0" fontId="0" fillId="2" borderId="0" xfId="0" applyFill="1"/>
    <xf numFmtId="10" fontId="0" fillId="2" borderId="0" xfId="0" applyNumberFormat="1" applyFill="1"/>
    <xf numFmtId="0" fontId="0" fillId="4" borderId="0" xfId="0" applyFill="1"/>
    <xf numFmtId="10" fontId="0" fillId="4" borderId="0" xfId="0" applyNumberFormat="1" applyFill="1"/>
    <xf numFmtId="164" fontId="0" fillId="4" borderId="0" xfId="0" applyNumberFormat="1" applyFill="1"/>
    <xf numFmtId="166" fontId="0" fillId="4" borderId="0" xfId="0" applyNumberFormat="1" applyFill="1"/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99060</xdr:rowOff>
        </xdr:from>
        <xdr:to>
          <xdr:col>1</xdr:col>
          <xdr:colOff>891540</xdr:colOff>
          <xdr:row>13</xdr:row>
          <xdr:rowOff>53340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11</xdr:row>
          <xdr:rowOff>76200</xdr:rowOff>
        </xdr:from>
        <xdr:to>
          <xdr:col>0</xdr:col>
          <xdr:colOff>1600200</xdr:colOff>
          <xdr:row>13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381A4-34AF-44E8-A35B-A7315408F1EE}">
  <dimension ref="A1:F19"/>
  <sheetViews>
    <sheetView showGridLines="0" tabSelected="1" workbookViewId="0">
      <selection activeCell="B3" sqref="B3"/>
    </sheetView>
  </sheetViews>
  <sheetFormatPr defaultRowHeight="14.4" x14ac:dyDescent="0.3"/>
  <cols>
    <col min="1" max="1" width="25.6640625" bestFit="1" customWidth="1"/>
    <col min="2" max="2" width="21.6640625" bestFit="1" customWidth="1"/>
    <col min="3" max="3" width="14.44140625" bestFit="1" customWidth="1"/>
    <col min="4" max="4" width="25" customWidth="1"/>
    <col min="5" max="5" width="20" customWidth="1"/>
    <col min="6" max="6" width="66.109375" customWidth="1"/>
  </cols>
  <sheetData>
    <row r="1" spans="1:6" x14ac:dyDescent="0.3">
      <c r="A1" s="11" t="s">
        <v>17</v>
      </c>
      <c r="B1" s="11"/>
    </row>
    <row r="2" spans="1:6" x14ac:dyDescent="0.3">
      <c r="A2" s="11" t="s">
        <v>16</v>
      </c>
      <c r="B2" s="11"/>
    </row>
    <row r="3" spans="1:6" x14ac:dyDescent="0.3">
      <c r="A3" s="6" t="s">
        <v>0</v>
      </c>
      <c r="B3" s="9">
        <v>50000</v>
      </c>
    </row>
    <row r="4" spans="1:6" x14ac:dyDescent="0.3">
      <c r="A4" s="6" t="s">
        <v>1</v>
      </c>
      <c r="B4" s="6">
        <v>30</v>
      </c>
    </row>
    <row r="5" spans="1:6" x14ac:dyDescent="0.3">
      <c r="A5" s="6" t="s">
        <v>2</v>
      </c>
      <c r="B5" s="6">
        <v>60</v>
      </c>
    </row>
    <row r="6" spans="1:6" x14ac:dyDescent="0.3">
      <c r="A6" s="6" t="s">
        <v>3</v>
      </c>
      <c r="B6" s="6">
        <v>85</v>
      </c>
    </row>
    <row r="7" spans="1:6" x14ac:dyDescent="0.3">
      <c r="A7" s="6" t="s">
        <v>4</v>
      </c>
      <c r="B7" s="7">
        <v>0.05</v>
      </c>
    </row>
    <row r="8" spans="1:6" x14ac:dyDescent="0.3">
      <c r="A8" s="6" t="s">
        <v>5</v>
      </c>
      <c r="B8" s="7">
        <v>0.08</v>
      </c>
    </row>
    <row r="9" spans="1:6" x14ac:dyDescent="0.3">
      <c r="A9" s="6" t="s">
        <v>13</v>
      </c>
      <c r="B9" s="7">
        <v>0.06</v>
      </c>
    </row>
    <row r="10" spans="1:6" x14ac:dyDescent="0.3">
      <c r="A10" s="6" t="s">
        <v>6</v>
      </c>
      <c r="B10" s="8">
        <f>IF((((1+B8)/(1+B7))-1)/12&lt;=0," ",(((1+B8)/(1+B7))-1)/12)</f>
        <v>2.3809523809523911E-3</v>
      </c>
    </row>
    <row r="11" spans="1:6" x14ac:dyDescent="0.3">
      <c r="D11" s="10" t="s">
        <v>11</v>
      </c>
      <c r="E11" s="10"/>
    </row>
    <row r="12" spans="1:6" x14ac:dyDescent="0.3">
      <c r="D12" t="s">
        <v>1</v>
      </c>
      <c r="E12">
        <v>30</v>
      </c>
    </row>
    <row r="13" spans="1:6" x14ac:dyDescent="0.3">
      <c r="D13" t="s">
        <v>7</v>
      </c>
      <c r="E13">
        <f>B5-E12</f>
        <v>30</v>
      </c>
    </row>
    <row r="14" spans="1:6" x14ac:dyDescent="0.3">
      <c r="D14" t="s">
        <v>8</v>
      </c>
      <c r="E14">
        <f>B6-B5</f>
        <v>25</v>
      </c>
    </row>
    <row r="15" spans="1:6" x14ac:dyDescent="0.3">
      <c r="D15" t="s">
        <v>9</v>
      </c>
      <c r="E15" s="2">
        <f>B3*1.06^E13</f>
        <v>287174.55864566297</v>
      </c>
    </row>
    <row r="16" spans="1:6" x14ac:dyDescent="0.3">
      <c r="D16" s="4" t="s">
        <v>10</v>
      </c>
      <c r="E16" s="3">
        <f>PV(B10,E14*12,-E15,,1)</f>
        <v>61664393.394341402</v>
      </c>
      <c r="F16" t="s">
        <v>15</v>
      </c>
    </row>
    <row r="18" spans="3:6" x14ac:dyDescent="0.3">
      <c r="D18" t="s">
        <v>12</v>
      </c>
    </row>
    <row r="19" spans="3:6" x14ac:dyDescent="0.3">
      <c r="C19" s="1"/>
      <c r="D19" s="5" t="str">
        <f>_xlfn.CONCAT("Expected Rate of Return"," ",TEXT(B9,"0%"))</f>
        <v>Expected Rate of Return 6%</v>
      </c>
      <c r="E19" s="3">
        <f>PMT(B9/12,E13*12,,-E16,1)</f>
        <v>61081.818364503481</v>
      </c>
      <c r="F19" t="s">
        <v>14</v>
      </c>
    </row>
  </sheetData>
  <mergeCells count="3">
    <mergeCell ref="D11:E11"/>
    <mergeCell ref="A2:B2"/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fresh">
                <anchor moveWithCells="1" sizeWithCells="1">
                  <from>
                    <xdr:col>1</xdr:col>
                    <xdr:colOff>7620</xdr:colOff>
                    <xdr:row>11</xdr:row>
                    <xdr:rowOff>99060</xdr:rowOff>
                  </from>
                  <to>
                    <xdr:col>1</xdr:col>
                    <xdr:colOff>891540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">
                <anchor moveWithCells="1" sizeWithCells="1">
                  <from>
                    <xdr:col>0</xdr:col>
                    <xdr:colOff>685800</xdr:colOff>
                    <xdr:row>11</xdr:row>
                    <xdr:rowOff>76200</xdr:rowOff>
                  </from>
                  <to>
                    <xdr:col>0</xdr:col>
                    <xdr:colOff>1600200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Varun Palrecha</dc:creator>
  <cp:lastModifiedBy>Varun Palrecha</cp:lastModifiedBy>
  <dcterms:created xsi:type="dcterms:W3CDTF">2024-11-15T08:35:09Z</dcterms:created>
  <dcterms:modified xsi:type="dcterms:W3CDTF">2024-11-15T09:26:52Z</dcterms:modified>
</cp:coreProperties>
</file>